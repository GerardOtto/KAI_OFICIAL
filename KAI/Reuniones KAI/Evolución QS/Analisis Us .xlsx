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USM" sheetId="2" r:id="rId5"/>
    <sheet state="visible" name="USACH" sheetId="3" r:id="rId6"/>
    <sheet state="visible" name="UDEC" sheetId="4" r:id="rId7"/>
  </sheets>
  <definedNames/>
  <calcPr/>
  <extLst>
    <ext uri="GoogleSheetsCustomDataVersion2">
      <go:sheetsCustomData xmlns:go="http://customooxmlschemas.google.com/" r:id="rId8" roundtripDataChecksum="eKVzO7mn2VxhJqvxnuzkHnm00zsJLRPCEA70/Ni6SpM="/>
    </ext>
  </extLst>
</workbook>
</file>

<file path=xl/sharedStrings.xml><?xml version="1.0" encoding="utf-8"?>
<sst xmlns="http://schemas.openxmlformats.org/spreadsheetml/2006/main" count="56" uniqueCount="19">
  <si>
    <t>2025</t>
  </si>
  <si>
    <t>2026</t>
  </si>
  <si>
    <t>Dif</t>
  </si>
  <si>
    <t>INSTITUTION</t>
  </si>
  <si>
    <t>ACADEMIC</t>
  </si>
  <si>
    <t>EMPLOYER</t>
  </si>
  <si>
    <t>CITATIONS</t>
  </si>
  <si>
    <t>H</t>
  </si>
  <si>
    <t>IRN</t>
  </si>
  <si>
    <t>SCORE</t>
  </si>
  <si>
    <t>Pontificia Universidad Católica de Chile (UC)</t>
  </si>
  <si>
    <t>Universidad de Chile</t>
  </si>
  <si>
    <t>Universidad Técnica Federico Santa María (USM)</t>
  </si>
  <si>
    <t>Universidad de Santiago de Chile (USACH)</t>
  </si>
  <si>
    <t>Universidad de Concepción</t>
  </si>
  <si>
    <t>501-550</t>
  </si>
  <si>
    <t>Pontificia Universidad Católica de Valparaíso</t>
  </si>
  <si>
    <t>AÑO</t>
  </si>
  <si>
    <t>Ganado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</si>
</sst>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sz val="9.0"/>
      <color rgb="FFFFFFFF"/>
      <name val="Aptos Narrow"/>
    </font>
    <font>
      <b/>
      <sz val="9.0"/>
      <color rgb="FFFFFFFF"/>
      <name val="Arial"/>
    </font>
    <font>
      <sz val="11.0"/>
      <color theme="1"/>
      <name val="Aptos Narrow"/>
    </font>
    <font>
      <sz val="11.0"/>
      <color theme="1"/>
      <name val="Arial"/>
    </font>
    <font>
      <b/>
      <sz val="12.0"/>
      <color rgb="FFFFFFFF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1E1F0"/>
        <bgColor rgb="FFD1E1F0"/>
      </patternFill>
    </fill>
    <fill>
      <patternFill patternType="solid">
        <fgColor rgb="FFFFD966"/>
        <bgColor rgb="FFFFD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3" numFmtId="0" xfId="0" applyAlignment="1" applyBorder="1" applyFill="1" applyFont="1">
      <alignment horizontal="center"/>
    </xf>
    <xf borderId="1" fillId="3" fontId="3" numFmtId="0" xfId="0" applyBorder="1" applyFont="1"/>
    <xf borderId="1" fillId="4" fontId="3" numFmtId="0" xfId="0" applyAlignment="1" applyBorder="1" applyFill="1" applyFont="1">
      <alignment horizontal="center"/>
    </xf>
    <xf borderId="1" fillId="4" fontId="3" numFmtId="0" xfId="0" applyBorder="1" applyFont="1"/>
    <xf borderId="1" fillId="4" fontId="4" numFmtId="0" xfId="0" applyAlignment="1" applyBorder="1" applyFont="1">
      <alignment readingOrder="0"/>
    </xf>
    <xf borderId="1" fillId="5" fontId="4" numFmtId="0" xfId="0" applyAlignment="1" applyBorder="1" applyFill="1" applyFont="1">
      <alignment horizontal="center" readingOrder="0"/>
    </xf>
    <xf borderId="1" fillId="2" fontId="5" numFmtId="0" xfId="0" applyAlignment="1" applyBorder="1" applyFont="1">
      <alignment horizontal="center" shrinkToFit="0" wrapText="1"/>
    </xf>
    <xf borderId="2" fillId="2" fontId="5" numFmtId="0" xfId="0" applyAlignment="1" applyBorder="1" applyFont="1">
      <alignment shrinkToFit="0" wrapText="1"/>
    </xf>
    <xf borderId="1" fillId="3" fontId="6" numFmtId="0" xfId="0" applyAlignment="1" applyBorder="1" applyFont="1">
      <alignment horizontal="center" readingOrder="0"/>
    </xf>
    <xf borderId="2" fillId="3" fontId="6" numFmtId="0" xfId="0" applyBorder="1" applyFont="1"/>
    <xf borderId="1" fillId="6" fontId="6" numFmtId="0" xfId="0" applyAlignment="1" applyBorder="1" applyFill="1" applyFont="1">
      <alignment horizontal="center"/>
    </xf>
    <xf borderId="1" fillId="3" fontId="6" numFmtId="0" xfId="0" applyAlignment="1" applyBorder="1" applyFont="1">
      <alignment horizontal="center" readingOrder="0"/>
    </xf>
    <xf borderId="2" fillId="3" fontId="6" numFmtId="0" xfId="0" applyBorder="1" applyFont="1"/>
    <xf borderId="1" fillId="3" fontId="6" numFmtId="164" xfId="0" applyAlignment="1" applyBorder="1" applyFont="1" applyNumberFormat="1">
      <alignment horizontal="center"/>
    </xf>
    <xf borderId="1" fillId="3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0" fillId="3" fontId="6" numFmtId="0" xfId="0" applyAlignment="1" applyFont="1">
      <alignment horizontal="center"/>
    </xf>
    <xf borderId="1" fillId="7" fontId="6" numFmtId="0" xfId="0" applyAlignment="1" applyBorder="1" applyFill="1" applyFont="1">
      <alignment readingOrder="0"/>
    </xf>
    <xf borderId="1" fillId="7" fontId="6" numFmtId="0" xfId="0" applyAlignment="1" applyBorder="1" applyFont="1">
      <alignment horizontal="center"/>
    </xf>
    <xf borderId="2" fillId="3" fontId="6" numFmtId="0" xfId="0" applyAlignment="1" applyBorder="1" applyFont="1">
      <alignment readingOrder="0"/>
    </xf>
    <xf borderId="1" fillId="4" fontId="6" numFmtId="0" xfId="0" applyAlignment="1" applyBorder="1" applyFont="1">
      <alignment horizontal="center"/>
    </xf>
    <xf borderId="2" fillId="3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1" fillId="7" fontId="6" numFmtId="0" xfId="0" applyAlignment="1" applyBorder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2026-style">
      <tableStyleElement dxfId="1" type="headerRow"/>
      <tableStyleElement dxfId="2" type="firstRowStripe"/>
      <tableStyleElement dxfId="3" type="secondRowStripe"/>
    </tableStyle>
    <tableStyle count="3" pivot="0" name="USM-style">
      <tableStyleElement dxfId="1" type="headerRow"/>
      <tableStyleElement dxfId="2" type="firstRowStripe"/>
      <tableStyleElement dxfId="3" type="secondRowStripe"/>
    </tableStyle>
    <tableStyle count="2" pivot="0" name="USM-style 2">
      <tableStyleElement dxfId="2" type="firstRowStripe"/>
      <tableStyleElement dxfId="3" type="secondRowStripe"/>
    </tableStyle>
    <tableStyle count="3" pivot="0" name="USACH-style">
      <tableStyleElement dxfId="1" type="headerRow"/>
      <tableStyleElement dxfId="2" type="firstRowStripe"/>
      <tableStyleElement dxfId="3" type="secondRowStripe"/>
    </tableStyle>
    <tableStyle count="2" pivot="0" name="USACH-style 2">
      <tableStyleElement dxfId="2" type="firstRowStripe"/>
      <tableStyleElement dxfId="3" type="secondRowStripe"/>
    </tableStyle>
    <tableStyle count="3" pivot="0" name="UDEC-style">
      <tableStyleElement dxfId="1" type="headerRow"/>
      <tableStyleElement dxfId="2" type="firstRowStripe"/>
      <tableStyleElement dxfId="3" type="secondRowStripe"/>
    </tableStyle>
    <tableStyle count="2" pivot="0" name="UDEC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Table_1" name="Table_1" id="1">
  <tableColumns count="10">
    <tableColumn name="2025" id="1"/>
    <tableColumn name="2026" id="2"/>
    <tableColumn name="Dif" id="3"/>
    <tableColumn name="INSTITUTION" id="4"/>
    <tableColumn name="ACADEMIC" id="5"/>
    <tableColumn name="EMPLOYER" id="6"/>
    <tableColumn name="CITATIONS" id="7"/>
    <tableColumn name="H" id="8"/>
    <tableColumn name="IRN" id="9"/>
    <tableColumn name="SCORE" id="10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ref="A1:H4" displayName="Table_2" name="Table_2" id="2">
  <tableColumns count="8">
    <tableColumn name="AÑO" id="1"/>
    <tableColumn name="INSTITUTION" id="2"/>
    <tableColumn name="ACADEMIC" id="3"/>
    <tableColumn name="EMPLOYER" id="4"/>
    <tableColumn name="CITATIONS" id="5"/>
    <tableColumn name="H" id="6"/>
    <tableColumn name="IRN" id="7"/>
    <tableColumn name="SCORE" id="8"/>
  </tableColumns>
  <tableStyleInfo name="USM-style" showColumnStripes="0" showFirstColumn="1" showLastColumn="1" showRowStripes="1"/>
</table>
</file>

<file path=xl/tables/table3.xml><?xml version="1.0" encoding="utf-8"?>
<table xmlns="http://schemas.openxmlformats.org/spreadsheetml/2006/main" headerRowCount="0" ref="A5:H6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USM-style 2" showColumnStripes="0" showFirstColumn="1" showLastColumn="1" showRowStripes="1"/>
</table>
</file>

<file path=xl/tables/table4.xml><?xml version="1.0" encoding="utf-8"?>
<table xmlns="http://schemas.openxmlformats.org/spreadsheetml/2006/main" ref="A1:H4" displayName="Table_4" name="Table_4" id="4">
  <tableColumns count="8">
    <tableColumn name="AÑO" id="1"/>
    <tableColumn name="INSTITUTION" id="2"/>
    <tableColumn name="ACADEMIC" id="3"/>
    <tableColumn name="EMPLOYER" id="4"/>
    <tableColumn name="CITATIONS" id="5"/>
    <tableColumn name="H" id="6"/>
    <tableColumn name="IRN" id="7"/>
    <tableColumn name="SCORE" id="8"/>
  </tableColumns>
  <tableStyleInfo name="USACH-style" showColumnStripes="0" showFirstColumn="1" showLastColumn="1" showRowStripes="1"/>
</table>
</file>

<file path=xl/tables/table5.xml><?xml version="1.0" encoding="utf-8"?>
<table xmlns="http://schemas.openxmlformats.org/spreadsheetml/2006/main" headerRowCount="0" ref="A5:H6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USACH-style 2" showColumnStripes="0" showFirstColumn="1" showLastColumn="1" showRowStripes="1"/>
</table>
</file>

<file path=xl/tables/table6.xml><?xml version="1.0" encoding="utf-8"?>
<table xmlns="http://schemas.openxmlformats.org/spreadsheetml/2006/main" ref="A1:H4" displayName="Table_6" name="Table_6" id="6">
  <tableColumns count="8">
    <tableColumn name="AÑO" id="1"/>
    <tableColumn name="INSTITUTION" id="2"/>
    <tableColumn name="ACADEMIC" id="3"/>
    <tableColumn name="EMPLOYER" id="4"/>
    <tableColumn name="CITATIONS" id="5"/>
    <tableColumn name="H" id="6"/>
    <tableColumn name="IRN" id="7"/>
    <tableColumn name="SCORE" id="8"/>
  </tableColumns>
  <tableStyleInfo name="UDEC-style" showColumnStripes="0" showFirstColumn="1" showLastColumn="1" showRowStripes="1"/>
</table>
</file>

<file path=xl/tables/table7.xml><?xml version="1.0" encoding="utf-8"?>
<table xmlns="http://schemas.openxmlformats.org/spreadsheetml/2006/main" headerRowCount="0" ref="A5:H6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UDE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1.63"/>
    <col customWidth="1" min="5" max="10" width="12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4">
        <v>90.0</v>
      </c>
      <c r="B2" s="4">
        <v>99.0</v>
      </c>
      <c r="C2" s="4">
        <f t="shared" ref="C2:C6" si="1">SUM(A2-B2)</f>
        <v>-9</v>
      </c>
      <c r="D2" s="5" t="s">
        <v>10</v>
      </c>
      <c r="E2" s="4">
        <v>77.2</v>
      </c>
      <c r="F2" s="4">
        <v>79.9</v>
      </c>
      <c r="G2" s="4">
        <v>79.0</v>
      </c>
      <c r="H2" s="4">
        <v>59.8</v>
      </c>
      <c r="I2" s="4">
        <v>58.9</v>
      </c>
      <c r="J2" s="4">
        <v>74.6</v>
      </c>
    </row>
    <row r="3">
      <c r="A3" s="6">
        <v>127.0</v>
      </c>
      <c r="B3" s="6">
        <v>132.0</v>
      </c>
      <c r="C3" s="6">
        <f t="shared" si="1"/>
        <v>-5</v>
      </c>
      <c r="D3" s="7" t="s">
        <v>11</v>
      </c>
      <c r="E3" s="6">
        <v>73.4</v>
      </c>
      <c r="F3" s="6">
        <v>76.7</v>
      </c>
      <c r="G3" s="6">
        <v>81.0</v>
      </c>
      <c r="H3" s="6">
        <v>63.8</v>
      </c>
      <c r="I3" s="6">
        <v>61.8</v>
      </c>
      <c r="J3" s="6">
        <v>73.0</v>
      </c>
    </row>
    <row r="4">
      <c r="A4" s="4">
        <v>332.0</v>
      </c>
      <c r="B4" s="4">
        <v>273.0</v>
      </c>
      <c r="C4" s="4">
        <f t="shared" si="1"/>
        <v>59</v>
      </c>
      <c r="D4" s="5" t="s">
        <v>12</v>
      </c>
      <c r="E4" s="4">
        <v>68.5</v>
      </c>
      <c r="F4" s="4">
        <v>67.4</v>
      </c>
      <c r="G4" s="4">
        <v>72.4</v>
      </c>
      <c r="H4" s="4">
        <v>55.4</v>
      </c>
      <c r="I4" s="4">
        <v>59.2</v>
      </c>
      <c r="J4" s="4">
        <v>66.3</v>
      </c>
    </row>
    <row r="5">
      <c r="A5" s="6">
        <v>353.0</v>
      </c>
      <c r="B5" s="6">
        <v>311.0</v>
      </c>
      <c r="C5" s="6">
        <f t="shared" si="1"/>
        <v>42</v>
      </c>
      <c r="D5" s="7" t="s">
        <v>13</v>
      </c>
      <c r="E5" s="6">
        <v>66.1</v>
      </c>
      <c r="F5" s="6">
        <v>67.5</v>
      </c>
      <c r="G5" s="6">
        <v>72.2</v>
      </c>
      <c r="H5" s="6">
        <v>55.4</v>
      </c>
      <c r="I5" s="6">
        <v>53.9</v>
      </c>
      <c r="J5" s="6">
        <v>64.8</v>
      </c>
    </row>
    <row r="6">
      <c r="A6" s="4">
        <v>353.0</v>
      </c>
      <c r="B6" s="4">
        <v>357.0</v>
      </c>
      <c r="C6" s="4">
        <f t="shared" si="1"/>
        <v>-4</v>
      </c>
      <c r="D6" s="5" t="s">
        <v>14</v>
      </c>
      <c r="E6" s="4">
        <v>61.7</v>
      </c>
      <c r="F6" s="4">
        <v>66.6</v>
      </c>
      <c r="G6" s="4">
        <v>78.0</v>
      </c>
      <c r="H6" s="4">
        <v>56.3</v>
      </c>
      <c r="I6" s="4">
        <v>52.4</v>
      </c>
      <c r="J6" s="4">
        <v>63.3</v>
      </c>
    </row>
    <row r="7">
      <c r="A7" s="7"/>
      <c r="B7" s="6" t="s">
        <v>15</v>
      </c>
      <c r="C7" s="7"/>
      <c r="D7" s="8" t="s">
        <v>16</v>
      </c>
      <c r="E7" s="6">
        <v>59.8</v>
      </c>
      <c r="F7" s="6">
        <v>64.2</v>
      </c>
      <c r="G7" s="6">
        <v>67.5</v>
      </c>
      <c r="H7" s="6">
        <v>49.5</v>
      </c>
      <c r="I7" s="6">
        <v>52.7</v>
      </c>
      <c r="J7" s="9">
        <v>60.15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5.0"/>
    <col customWidth="1" min="3" max="8" width="12.63"/>
  </cols>
  <sheetData>
    <row r="1" ht="15.75" customHeight="1">
      <c r="A1" s="10" t="s">
        <v>17</v>
      </c>
      <c r="B1" s="11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</row>
    <row r="2" ht="15.75" customHeight="1">
      <c r="A2" s="12">
        <v>2023.0</v>
      </c>
      <c r="B2" s="13" t="s">
        <v>12</v>
      </c>
      <c r="C2" s="14">
        <v>66.0</v>
      </c>
      <c r="D2" s="14">
        <v>65.2</v>
      </c>
      <c r="E2" s="14">
        <v>69.8</v>
      </c>
      <c r="F2" s="14">
        <v>64.7</v>
      </c>
      <c r="G2" s="14">
        <v>54.3</v>
      </c>
      <c r="H2" s="14">
        <v>64.8</v>
      </c>
    </row>
    <row r="3" ht="15.75" customHeight="1">
      <c r="A3" s="15">
        <v>2024.0</v>
      </c>
      <c r="B3" s="16" t="s">
        <v>12</v>
      </c>
      <c r="C3" s="17">
        <v>66.8</v>
      </c>
      <c r="D3" s="17">
        <v>61.6</v>
      </c>
      <c r="E3" s="17">
        <v>71.3</v>
      </c>
      <c r="F3" s="17">
        <v>52.2</v>
      </c>
      <c r="G3" s="17">
        <v>63.3</v>
      </c>
      <c r="H3" s="17">
        <v>63.9</v>
      </c>
    </row>
    <row r="4" ht="15.75" customHeight="1">
      <c r="A4" s="18">
        <v>2025.0</v>
      </c>
      <c r="B4" s="13" t="s">
        <v>12</v>
      </c>
      <c r="C4" s="19">
        <v>68.2</v>
      </c>
      <c r="D4" s="19">
        <v>61.6</v>
      </c>
      <c r="E4" s="19">
        <v>71.8</v>
      </c>
      <c r="F4" s="19">
        <v>54.5</v>
      </c>
      <c r="G4" s="19">
        <v>63.7</v>
      </c>
      <c r="H4" s="19">
        <v>64.76</v>
      </c>
    </row>
    <row r="5" ht="15.75" customHeight="1">
      <c r="A5" s="18">
        <v>2026.0</v>
      </c>
      <c r="B5" s="13" t="s">
        <v>12</v>
      </c>
      <c r="C5" s="18">
        <v>68.5</v>
      </c>
      <c r="D5" s="18">
        <v>67.4</v>
      </c>
      <c r="E5" s="18">
        <v>72.4</v>
      </c>
      <c r="F5" s="18">
        <v>55.4</v>
      </c>
      <c r="G5" s="18">
        <v>59.2</v>
      </c>
      <c r="H5" s="18">
        <v>66.3</v>
      </c>
    </row>
    <row r="6" ht="15.75" customHeight="1">
      <c r="A6" s="20"/>
      <c r="B6" s="21" t="s">
        <v>18</v>
      </c>
      <c r="C6" s="22">
        <f t="shared" ref="C6:H6" si="1">sum(C5-C2)</f>
        <v>2.5</v>
      </c>
      <c r="D6" s="22">
        <f t="shared" si="1"/>
        <v>2.2</v>
      </c>
      <c r="E6" s="22">
        <f t="shared" si="1"/>
        <v>2.6</v>
      </c>
      <c r="F6" s="22">
        <f t="shared" si="1"/>
        <v>-9.3</v>
      </c>
      <c r="G6" s="22">
        <f t="shared" si="1"/>
        <v>4.9</v>
      </c>
      <c r="H6" s="22">
        <f t="shared" si="1"/>
        <v>1.5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38"/>
  </cols>
  <sheetData>
    <row r="1">
      <c r="A1" s="10" t="s">
        <v>17</v>
      </c>
      <c r="B1" s="11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</row>
    <row r="2">
      <c r="A2" s="12">
        <v>2023.0</v>
      </c>
      <c r="B2" s="23" t="s">
        <v>13</v>
      </c>
      <c r="C2" s="24">
        <v>65.5</v>
      </c>
      <c r="D2" s="24">
        <v>69.6</v>
      </c>
      <c r="E2" s="24">
        <v>68.6</v>
      </c>
      <c r="F2" s="24">
        <v>53.0</v>
      </c>
      <c r="G2" s="24">
        <v>47.7</v>
      </c>
      <c r="H2" s="24">
        <v>64.0</v>
      </c>
    </row>
    <row r="3">
      <c r="A3" s="15">
        <v>2024.0</v>
      </c>
      <c r="B3" s="25" t="s">
        <v>13</v>
      </c>
      <c r="C3" s="17">
        <v>65.4</v>
      </c>
      <c r="D3" s="17">
        <v>67.5</v>
      </c>
      <c r="E3" s="17">
        <v>68.5</v>
      </c>
      <c r="F3" s="17">
        <v>50.5</v>
      </c>
      <c r="G3" s="17">
        <v>48.6</v>
      </c>
      <c r="H3" s="17">
        <v>63.2</v>
      </c>
    </row>
    <row r="4">
      <c r="A4" s="18">
        <v>2025.0</v>
      </c>
      <c r="B4" s="23" t="s">
        <v>13</v>
      </c>
      <c r="C4" s="26">
        <v>66.2</v>
      </c>
      <c r="D4" s="26">
        <v>68.6</v>
      </c>
      <c r="E4" s="26">
        <v>69.7</v>
      </c>
      <c r="F4" s="26">
        <v>51.2</v>
      </c>
      <c r="G4" s="26">
        <v>52.5</v>
      </c>
      <c r="H4" s="27">
        <v>64.4</v>
      </c>
    </row>
    <row r="5">
      <c r="A5" s="18">
        <v>2026.0</v>
      </c>
      <c r="B5" s="23" t="s">
        <v>13</v>
      </c>
      <c r="C5" s="28">
        <v>66.1</v>
      </c>
      <c r="D5" s="28">
        <v>67.5</v>
      </c>
      <c r="E5" s="28">
        <v>72.2</v>
      </c>
      <c r="F5" s="28">
        <v>55.4</v>
      </c>
      <c r="G5" s="28">
        <v>53.9</v>
      </c>
      <c r="H5" s="28">
        <v>64.8</v>
      </c>
    </row>
    <row r="6">
      <c r="A6" s="20"/>
      <c r="B6" s="21" t="s">
        <v>18</v>
      </c>
      <c r="C6" s="22">
        <f t="shared" ref="C6:H6" si="1">sum(C5-C2)</f>
        <v>0.6</v>
      </c>
      <c r="D6" s="22">
        <f t="shared" si="1"/>
        <v>-2.1</v>
      </c>
      <c r="E6" s="22">
        <f t="shared" si="1"/>
        <v>3.6</v>
      </c>
      <c r="F6" s="22">
        <f t="shared" si="1"/>
        <v>2.4</v>
      </c>
      <c r="G6" s="22">
        <f t="shared" si="1"/>
        <v>6.2</v>
      </c>
      <c r="H6" s="22">
        <f t="shared" si="1"/>
        <v>0.8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38"/>
  </cols>
  <sheetData>
    <row r="1">
      <c r="A1" s="10" t="s">
        <v>17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</row>
    <row r="2">
      <c r="A2" s="12">
        <v>2023.0</v>
      </c>
      <c r="B2" s="12" t="s">
        <v>14</v>
      </c>
      <c r="C2" s="24">
        <v>63.8</v>
      </c>
      <c r="D2" s="24">
        <v>65.0</v>
      </c>
      <c r="E2" s="24">
        <v>75.3</v>
      </c>
      <c r="F2" s="24">
        <v>65.5</v>
      </c>
      <c r="G2" s="24">
        <v>56.7</v>
      </c>
      <c r="H2" s="24">
        <v>64.8</v>
      </c>
    </row>
    <row r="3">
      <c r="A3" s="15">
        <v>2024.0</v>
      </c>
      <c r="B3" s="15" t="s">
        <v>14</v>
      </c>
      <c r="C3" s="17">
        <v>63.9</v>
      </c>
      <c r="D3" s="17">
        <v>64.9</v>
      </c>
      <c r="E3" s="17">
        <v>76.5</v>
      </c>
      <c r="F3" s="17">
        <v>54.4</v>
      </c>
      <c r="G3" s="17">
        <v>55.4</v>
      </c>
      <c r="H3" s="17">
        <v>63.7</v>
      </c>
    </row>
    <row r="4">
      <c r="A4" s="18">
        <v>2025.0</v>
      </c>
      <c r="B4" s="12" t="s">
        <v>14</v>
      </c>
      <c r="C4" s="26">
        <v>63.6</v>
      </c>
      <c r="D4" s="26">
        <v>66.1</v>
      </c>
      <c r="E4" s="26">
        <v>78.4</v>
      </c>
      <c r="F4" s="26">
        <v>55.5</v>
      </c>
      <c r="G4" s="26">
        <v>57.2</v>
      </c>
      <c r="H4" s="27">
        <v>64.38</v>
      </c>
    </row>
    <row r="5">
      <c r="A5" s="18">
        <v>2026.0</v>
      </c>
      <c r="B5" s="12" t="s">
        <v>14</v>
      </c>
      <c r="C5" s="18">
        <v>61.7</v>
      </c>
      <c r="D5" s="18">
        <v>66.6</v>
      </c>
      <c r="E5" s="18">
        <v>78.0</v>
      </c>
      <c r="F5" s="18">
        <v>56.3</v>
      </c>
      <c r="G5" s="18">
        <v>52.4</v>
      </c>
      <c r="H5" s="18">
        <v>63.3</v>
      </c>
    </row>
    <row r="6">
      <c r="A6" s="20"/>
      <c r="B6" s="29" t="s">
        <v>18</v>
      </c>
      <c r="C6" s="22">
        <f t="shared" ref="C6:H6" si="1">sum(C5-C2)</f>
        <v>-2.1</v>
      </c>
      <c r="D6" s="22">
        <f t="shared" si="1"/>
        <v>1.6</v>
      </c>
      <c r="E6" s="22">
        <f t="shared" si="1"/>
        <v>2.7</v>
      </c>
      <c r="F6" s="22">
        <f t="shared" si="1"/>
        <v>-9.2</v>
      </c>
      <c r="G6" s="22">
        <f t="shared" si="1"/>
        <v>-4.3</v>
      </c>
      <c r="H6" s="22">
        <f t="shared" si="1"/>
        <v>-1.5</v>
      </c>
    </row>
  </sheetData>
  <drawing r:id="rId1"/>
  <tableParts count="2">
    <tablePart r:id="rId4"/>
    <tablePart r:id="rId5"/>
  </tableParts>
</worksheet>
</file>