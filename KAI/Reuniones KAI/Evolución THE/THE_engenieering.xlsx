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USM" sheetId="2" r:id="rId6"/>
    <sheet state="visible" name="PUCV" sheetId="3" r:id="rId7"/>
  </sheets>
  <definedNames/>
  <calcPr/>
</workbook>
</file>

<file path=xl/sharedStrings.xml><?xml version="1.0" encoding="utf-8"?>
<sst xmlns="http://schemas.openxmlformats.org/spreadsheetml/2006/main" count="103" uniqueCount="45">
  <si>
    <t>AÑO</t>
  </si>
  <si>
    <t>INSTITUTION</t>
  </si>
  <si>
    <t>Overall</t>
  </si>
  <si>
    <t>Teaching 29.5%</t>
  </si>
  <si>
    <t>Research Environment 29%</t>
  </si>
  <si>
    <t>Research Quality 30%</t>
  </si>
  <si>
    <t>Industry 4%</t>
  </si>
  <si>
    <t>International Outlook 7.5%</t>
  </si>
  <si>
    <t>TOTAL</t>
  </si>
  <si>
    <t>Federico Santa María Technical University</t>
  </si>
  <si>
    <t>Pontifical Catholic University of Valparaíso</t>
  </si>
  <si>
    <t>Pontificia Universidad Católica de Chile</t>
  </si>
  <si>
    <t>32.6—37.5</t>
  </si>
  <si>
    <t>46.2–49.8</t>
  </si>
  <si>
    <t>8.3—18.5</t>
  </si>
  <si>
    <t>30.7–34.9</t>
  </si>
  <si>
    <t>26.0–33.4</t>
  </si>
  <si>
    <t>15.6–21.4</t>
  </si>
  <si>
    <t>22.2–28.2</t>
  </si>
  <si>
    <t>10.3–25.0</t>
  </si>
  <si>
    <t>9.8–18.9</t>
  </si>
  <si>
    <t>10.6–22.3</t>
  </si>
  <si>
    <t>18.4–24.3</t>
  </si>
  <si>
    <t>10.7–22.1</t>
  </si>
  <si>
    <t>22.8–28.2</t>
  </si>
  <si>
    <t>10.5–25.1</t>
  </si>
  <si>
    <t>University of Chile</t>
  </si>
  <si>
    <t>10.3–27.2</t>
  </si>
  <si>
    <t>32.1–35.4</t>
  </si>
  <si>
    <t>22.4–27.1</t>
  </si>
  <si>
    <t>Ganado</t>
  </si>
  <si>
    <t>University of Tarapacá</t>
  </si>
  <si>
    <t>Diego Portales University</t>
  </si>
  <si>
    <t>27.3–32.0</t>
  </si>
  <si>
    <t>University of Concepción</t>
  </si>
  <si>
    <t>Adolfo Ibáñez University</t>
  </si>
  <si>
    <t>University of La Serena</t>
  </si>
  <si>
    <t>University of La Frontera</t>
  </si>
  <si>
    <t>Universidad del Desarrollo</t>
  </si>
  <si>
    <t>Catholic University of the North</t>
  </si>
  <si>
    <t>Austral University of Chile</t>
  </si>
  <si>
    <t>Universidad Andrés Bello (UNAB)</t>
  </si>
  <si>
    <t>Alberto Hurtado University</t>
  </si>
  <si>
    <t>Temuco Catholic University</t>
  </si>
  <si>
    <t>Bernardo O’Higgins University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</si>
</sst>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b/>
      <sz val="12.0"/>
      <color rgb="FFFFFFFF"/>
      <name val="Arial"/>
    </font>
    <font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ill="1" applyFont="1">
      <alignment horizontal="center" shrinkToFit="0" vertical="bottom" wrapText="1"/>
    </xf>
    <xf borderId="0" fillId="3" fontId="1" numFmtId="0" xfId="0" applyAlignment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 vertical="bottom"/>
    </xf>
    <xf borderId="1" fillId="4" fontId="3" numFmtId="0" xfId="0" applyAlignment="1" applyBorder="1" applyFill="1" applyFont="1">
      <alignment horizontal="center" vertical="bottom"/>
    </xf>
    <xf borderId="1" fillId="4" fontId="4" numFmtId="0" xfId="0" applyAlignment="1" applyBorder="1" applyFill="1" applyFont="1">
      <alignment horizontal="left" readingOrder="0"/>
    </xf>
    <xf borderId="1" fillId="4" fontId="2" numFmtId="164" xfId="0" applyAlignment="1" applyBorder="1" applyFill="1" applyFont="1" applyNumberFormat="1">
      <alignment horizontal="center" readingOrder="0" vertical="bottom"/>
    </xf>
    <xf borderId="1" fillId="4" fontId="4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4" fontId="4" numFmtId="2" xfId="0" applyAlignment="1" applyBorder="1" applyFill="1" applyFont="1" applyNumberFormat="1">
      <alignment horizontal="center" readingOrder="0"/>
    </xf>
    <xf borderId="1" fillId="5" fontId="3" numFmtId="0" xfId="0" applyAlignment="1" applyBorder="1" applyFill="1" applyFont="1">
      <alignment horizontal="center" vertical="bottom"/>
    </xf>
    <xf borderId="1" fillId="5" fontId="4" numFmtId="0" xfId="0" applyAlignment="1" applyBorder="1" applyFill="1" applyFont="1">
      <alignment horizontal="left" readingOrder="0"/>
    </xf>
    <xf borderId="1" fillId="5" fontId="4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1" fillId="6" fontId="2" numFmtId="0" xfId="0" applyAlignment="1" applyBorder="1" applyFill="1" applyFont="1">
      <alignment horizontal="center" vertical="bottom"/>
    </xf>
    <xf borderId="1" fillId="5" fontId="4" numFmtId="2" xfId="0" applyAlignment="1" applyBorder="1" applyFill="1" applyFont="1" applyNumberFormat="1">
      <alignment horizontal="center" readingOrder="0"/>
    </xf>
    <xf borderId="1" fillId="7" fontId="2" numFmtId="0" xfId="0" applyAlignment="1" applyBorder="1" applyFill="1" applyFont="1">
      <alignment horizontal="center" vertical="bottom"/>
    </xf>
    <xf borderId="1" fillId="8" fontId="2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 readingOrder="0"/>
    </xf>
    <xf borderId="1" fillId="0" fontId="4" numFmtId="2" xfId="0" applyAlignment="1" applyBorder="1" applyFont="1" applyNumberFormat="1">
      <alignment horizontal="center" readingOrder="0"/>
    </xf>
    <xf borderId="1" fillId="9" fontId="5" numFmtId="0" xfId="0" applyAlignment="1" applyBorder="1" applyFill="1" applyFont="1">
      <alignment horizontal="center" vertical="bottom"/>
    </xf>
    <xf borderId="1" fillId="9" fontId="6" numFmtId="0" xfId="0" applyAlignment="1" applyBorder="1" applyFill="1" applyFont="1">
      <alignment horizontal="left" readingOrder="0"/>
    </xf>
    <xf borderId="1" fillId="9" fontId="6" numFmtId="0" xfId="0" applyAlignment="1" applyBorder="1" applyFill="1" applyFont="1">
      <alignment horizontal="center" readingOrder="0"/>
    </xf>
    <xf borderId="1" fillId="9" fontId="6" numFmtId="2" xfId="0" applyAlignment="1" applyBorder="1" applyFill="1" applyFont="1" applyNumberFormat="1">
      <alignment horizontal="center" readingOrder="0"/>
    </xf>
    <xf borderId="1" fillId="4" fontId="5" numFmtId="0" xfId="0" applyAlignment="1" applyBorder="1" applyFill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3" pivot="0" name="USM-style">
      <tableStyleElement dxfId="1" type="headerRow"/>
      <tableStyleElement dxfId="2" type="firstRowStripe"/>
      <tableStyleElement dxfId="3" type="secondRowStripe"/>
    </tableStyle>
    <tableStyle count="3" pivot="0" name="2026-style">
      <tableStyleElement dxfId="1" type="headerRow"/>
      <tableStyleElement dxfId="2" type="firstRowStripe"/>
      <tableStyleElement dxfId="3" type="secondRowStripe"/>
    </tableStyle>
    <tableStyle count="3" pivot="0" name="PUCV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I1" displayName="Table_2" name="Table_2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H13" displayName="Table_1" name="Table_1" id="2">
  <tableColumns count="8">
    <tableColumn name="AÑO" id="1"/>
    <tableColumn name="INSTITUTION" id="2"/>
    <tableColumn name="Overall" id="3"/>
    <tableColumn name="Teaching 29.5%" id="4"/>
    <tableColumn name="Research Environment 29%" id="5"/>
    <tableColumn name="Research Quality 30%" id="6"/>
    <tableColumn name="Industry 4%" id="7"/>
    <tableColumn name="International Outlook 7.5%" id="8"/>
  </tableColumns>
  <tableStyleInfo name="USM-style" showColumnStripes="0" showFirstColumn="1" showLastColumn="1" showRowStripes="1"/>
</table>
</file>

<file path=xl/tables/table3.xml><?xml version="1.0" encoding="utf-8"?>
<table xmlns="http://schemas.openxmlformats.org/spreadsheetml/2006/main" ref="A1:H13" displayName="Table_3" name="Table_3" id="3">
  <tableColumns count="8">
    <tableColumn name="AÑO" id="1"/>
    <tableColumn name="INSTITUTION" id="2"/>
    <tableColumn name="Overall" id="3"/>
    <tableColumn name="Teaching 29.5%" id="4"/>
    <tableColumn name="Research Environment 29%" id="5"/>
    <tableColumn name="Research Quality 30%" id="6"/>
    <tableColumn name="Industry 4%" id="7"/>
    <tableColumn name="International Outlook 7.5%" id="8"/>
  </tableColumns>
  <tableStyleInfo name="PUC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4.75"/>
    <col customWidth="1" min="3" max="3" width="8.38"/>
    <col customWidth="1" min="4" max="4" width="15.75"/>
    <col customWidth="1" min="5" max="5" width="27.25"/>
    <col customWidth="1" min="6" max="6" width="21.75"/>
    <col customWidth="1" min="7" max="7" width="12.25"/>
    <col customWidth="1" min="8" max="8" width="26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5">
        <v>2026.0</v>
      </c>
      <c r="B2" s="6" t="s">
        <v>11</v>
      </c>
      <c r="C2" s="8" t="s">
        <v>13</v>
      </c>
      <c r="D2" s="8">
        <v>33.5</v>
      </c>
      <c r="E2" s="8">
        <v>38.6</v>
      </c>
      <c r="F2" s="8">
        <v>61.9</v>
      </c>
      <c r="G2" s="8">
        <v>80.2</v>
      </c>
      <c r="H2" s="8">
        <v>58.1</v>
      </c>
      <c r="I2" s="10">
        <f t="shared" ref="I2:I18" si="1">D2*0.295+E2*0.29+F2*0.3+G2*0.04+H2*0.075</f>
        <v>47.212</v>
      </c>
    </row>
    <row r="3">
      <c r="A3" s="11">
        <v>2026.0</v>
      </c>
      <c r="B3" s="12" t="s">
        <v>26</v>
      </c>
      <c r="C3" s="13" t="s">
        <v>28</v>
      </c>
      <c r="D3" s="13">
        <v>26.6</v>
      </c>
      <c r="E3" s="13">
        <v>21.5</v>
      </c>
      <c r="F3" s="13">
        <v>48.3</v>
      </c>
      <c r="G3" s="13">
        <v>56.5</v>
      </c>
      <c r="H3" s="13">
        <v>49.3</v>
      </c>
      <c r="I3" s="16">
        <f t="shared" si="1"/>
        <v>34.5295</v>
      </c>
    </row>
    <row r="4">
      <c r="A4" s="5">
        <v>2026.0</v>
      </c>
      <c r="B4" s="6" t="s">
        <v>31</v>
      </c>
      <c r="C4" s="8" t="s">
        <v>28</v>
      </c>
      <c r="D4" s="8">
        <v>12.7</v>
      </c>
      <c r="E4" s="8">
        <v>23.6</v>
      </c>
      <c r="F4" s="8">
        <v>55.4</v>
      </c>
      <c r="G4" s="8">
        <v>21.7</v>
      </c>
      <c r="H4" s="8">
        <v>58.7</v>
      </c>
      <c r="I4" s="10">
        <f t="shared" si="1"/>
        <v>32.481</v>
      </c>
    </row>
    <row r="5">
      <c r="A5" s="11">
        <v>2026.0</v>
      </c>
      <c r="B5" s="12" t="s">
        <v>32</v>
      </c>
      <c r="C5" s="13" t="s">
        <v>33</v>
      </c>
      <c r="D5" s="13">
        <v>16.1</v>
      </c>
      <c r="E5" s="13">
        <v>12.2</v>
      </c>
      <c r="F5" s="13">
        <v>57.4</v>
      </c>
      <c r="G5" s="13">
        <v>19.2</v>
      </c>
      <c r="H5" s="13">
        <v>54.1</v>
      </c>
      <c r="I5" s="16">
        <f t="shared" si="1"/>
        <v>30.333</v>
      </c>
    </row>
    <row r="6">
      <c r="A6" s="5">
        <v>2026.0</v>
      </c>
      <c r="B6" s="6" t="s">
        <v>34</v>
      </c>
      <c r="C6" s="8" t="s">
        <v>33</v>
      </c>
      <c r="D6" s="8">
        <v>19.3</v>
      </c>
      <c r="E6" s="8">
        <v>18.1</v>
      </c>
      <c r="F6" s="8">
        <v>40.9</v>
      </c>
      <c r="G6" s="8">
        <v>47.7</v>
      </c>
      <c r="H6" s="8">
        <v>50.8</v>
      </c>
      <c r="I6" s="10">
        <f t="shared" si="1"/>
        <v>28.9305</v>
      </c>
    </row>
    <row r="7">
      <c r="A7" s="11">
        <v>2026.0</v>
      </c>
      <c r="B7" s="12" t="s">
        <v>35</v>
      </c>
      <c r="C7" s="13" t="s">
        <v>33</v>
      </c>
      <c r="D7" s="13">
        <v>15.6</v>
      </c>
      <c r="E7" s="13">
        <v>17.4</v>
      </c>
      <c r="F7" s="13">
        <v>44.3</v>
      </c>
      <c r="G7" s="13">
        <v>22.7</v>
      </c>
      <c r="H7" s="13">
        <v>62.5</v>
      </c>
      <c r="I7" s="16">
        <f t="shared" si="1"/>
        <v>28.5335</v>
      </c>
    </row>
    <row r="8">
      <c r="A8" s="5">
        <v>2026.0</v>
      </c>
      <c r="B8" s="6" t="s">
        <v>36</v>
      </c>
      <c r="C8" s="8" t="s">
        <v>33</v>
      </c>
      <c r="D8" s="8">
        <v>14.3</v>
      </c>
      <c r="E8" s="8">
        <v>10.3</v>
      </c>
      <c r="F8" s="8">
        <v>54.3</v>
      </c>
      <c r="G8" s="8">
        <v>17.3</v>
      </c>
      <c r="H8" s="8">
        <v>50.3</v>
      </c>
      <c r="I8" s="10">
        <f t="shared" si="1"/>
        <v>27.96</v>
      </c>
    </row>
    <row r="9">
      <c r="A9" s="19">
        <v>2026.0</v>
      </c>
      <c r="B9" s="20" t="s">
        <v>37</v>
      </c>
      <c r="C9" s="21" t="s">
        <v>33</v>
      </c>
      <c r="D9" s="21">
        <v>17.8</v>
      </c>
      <c r="E9" s="21">
        <v>23.7</v>
      </c>
      <c r="F9" s="21">
        <v>35.8</v>
      </c>
      <c r="G9" s="21">
        <v>24.1</v>
      </c>
      <c r="H9" s="21">
        <v>50.2</v>
      </c>
      <c r="I9" s="22">
        <f t="shared" si="1"/>
        <v>27.593</v>
      </c>
    </row>
    <row r="10">
      <c r="A10" s="5">
        <v>2026.0</v>
      </c>
      <c r="B10" s="6" t="s">
        <v>38</v>
      </c>
      <c r="C10" s="8" t="s">
        <v>33</v>
      </c>
      <c r="D10" s="8">
        <v>16.4</v>
      </c>
      <c r="E10" s="8">
        <v>12.1</v>
      </c>
      <c r="F10" s="8">
        <v>47.2</v>
      </c>
      <c r="G10" s="8">
        <v>28.0</v>
      </c>
      <c r="H10" s="8">
        <v>51.0</v>
      </c>
      <c r="I10" s="10">
        <f t="shared" si="1"/>
        <v>27.452</v>
      </c>
    </row>
    <row r="11">
      <c r="A11" s="23">
        <v>2026.0</v>
      </c>
      <c r="B11" s="24" t="s">
        <v>10</v>
      </c>
      <c r="C11" s="25" t="s">
        <v>27</v>
      </c>
      <c r="D11" s="25">
        <v>17.4</v>
      </c>
      <c r="E11" s="25">
        <v>17.6</v>
      </c>
      <c r="F11" s="25">
        <v>33.0</v>
      </c>
      <c r="G11" s="25">
        <v>33.8</v>
      </c>
      <c r="H11" s="25">
        <v>51.3</v>
      </c>
      <c r="I11" s="26">
        <f t="shared" si="1"/>
        <v>25.3365</v>
      </c>
    </row>
    <row r="12">
      <c r="A12" s="5">
        <v>2026.0</v>
      </c>
      <c r="B12" s="6" t="s">
        <v>39</v>
      </c>
      <c r="C12" s="8" t="s">
        <v>27</v>
      </c>
      <c r="D12" s="8">
        <v>14.7</v>
      </c>
      <c r="E12" s="8">
        <v>14.9</v>
      </c>
      <c r="F12" s="8">
        <v>33.8</v>
      </c>
      <c r="G12" s="8">
        <v>19.9</v>
      </c>
      <c r="H12" s="8">
        <v>61.0</v>
      </c>
      <c r="I12" s="10">
        <f t="shared" si="1"/>
        <v>24.1685</v>
      </c>
    </row>
    <row r="13">
      <c r="A13" s="19">
        <v>2026.0</v>
      </c>
      <c r="B13" s="20" t="s">
        <v>40</v>
      </c>
      <c r="C13" s="21" t="s">
        <v>27</v>
      </c>
      <c r="D13" s="21">
        <v>15.6</v>
      </c>
      <c r="E13" s="21">
        <v>17.2</v>
      </c>
      <c r="F13" s="21">
        <v>29.2</v>
      </c>
      <c r="G13" s="21">
        <v>41.8</v>
      </c>
      <c r="H13" s="21">
        <v>52.4</v>
      </c>
      <c r="I13" s="22">
        <f t="shared" si="1"/>
        <v>23.952</v>
      </c>
    </row>
    <row r="14">
      <c r="A14" s="5">
        <v>2026.0</v>
      </c>
      <c r="B14" s="6" t="s">
        <v>41</v>
      </c>
      <c r="C14" s="8" t="s">
        <v>27</v>
      </c>
      <c r="D14" s="8">
        <v>15.7</v>
      </c>
      <c r="E14" s="8">
        <v>10.8</v>
      </c>
      <c r="F14" s="8">
        <v>37.6</v>
      </c>
      <c r="G14" s="8">
        <v>22.4</v>
      </c>
      <c r="H14" s="8">
        <v>52.5</v>
      </c>
      <c r="I14" s="10">
        <f t="shared" si="1"/>
        <v>23.877</v>
      </c>
    </row>
    <row r="15">
      <c r="A15" s="19">
        <v>2026.0</v>
      </c>
      <c r="B15" s="20" t="s">
        <v>9</v>
      </c>
      <c r="C15" s="21" t="s">
        <v>27</v>
      </c>
      <c r="D15" s="21">
        <v>14.5</v>
      </c>
      <c r="E15" s="21">
        <v>12.9</v>
      </c>
      <c r="F15" s="21">
        <v>33.0</v>
      </c>
      <c r="G15" s="21">
        <v>40.7</v>
      </c>
      <c r="H15" s="21">
        <v>53.8</v>
      </c>
      <c r="I15" s="22">
        <f t="shared" si="1"/>
        <v>23.5815</v>
      </c>
    </row>
    <row r="16">
      <c r="A16" s="27">
        <v>2026.0</v>
      </c>
      <c r="B16" s="6" t="s">
        <v>42</v>
      </c>
      <c r="C16" s="8" t="s">
        <v>27</v>
      </c>
      <c r="D16" s="8">
        <v>15.8</v>
      </c>
      <c r="E16" s="8">
        <v>16.6</v>
      </c>
      <c r="F16" s="8">
        <v>24.1</v>
      </c>
      <c r="G16" s="8">
        <v>16.0</v>
      </c>
      <c r="H16" s="8">
        <v>37.7</v>
      </c>
      <c r="I16" s="10">
        <f t="shared" si="1"/>
        <v>20.1725</v>
      </c>
    </row>
    <row r="17">
      <c r="A17" s="19">
        <v>2026.0</v>
      </c>
      <c r="B17" s="20" t="s">
        <v>43</v>
      </c>
      <c r="C17" s="21" t="s">
        <v>27</v>
      </c>
      <c r="D17" s="21">
        <v>21.6</v>
      </c>
      <c r="E17" s="21">
        <v>11.0</v>
      </c>
      <c r="F17" s="21">
        <v>14.8</v>
      </c>
      <c r="G17" s="21">
        <v>18.8</v>
      </c>
      <c r="H17" s="21">
        <v>45.1</v>
      </c>
      <c r="I17" s="22">
        <f t="shared" si="1"/>
        <v>18.1365</v>
      </c>
    </row>
    <row r="18">
      <c r="A18" s="5">
        <v>2026.0</v>
      </c>
      <c r="B18" s="6" t="s">
        <v>44</v>
      </c>
      <c r="C18" s="8" t="s">
        <v>27</v>
      </c>
      <c r="D18" s="8">
        <v>14.6</v>
      </c>
      <c r="E18" s="8">
        <v>10.8</v>
      </c>
      <c r="F18" s="8">
        <v>13.1</v>
      </c>
      <c r="G18" s="8">
        <v>22.6</v>
      </c>
      <c r="H18" s="8">
        <v>48.6</v>
      </c>
      <c r="I18" s="10">
        <f t="shared" si="1"/>
        <v>15.918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38"/>
    <col customWidth="1" min="3" max="3" width="10.75"/>
    <col customWidth="1" min="4" max="4" width="15.75"/>
    <col customWidth="1" min="5" max="5" width="27.25"/>
    <col customWidth="1" min="6" max="6" width="21.75"/>
    <col customWidth="1" min="7" max="7" width="12.25"/>
    <col customWidth="1" min="8" max="8" width="26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4">
        <v>2016.0</v>
      </c>
      <c r="B2" s="4" t="s">
        <v>9</v>
      </c>
      <c r="C2" s="4">
        <v>0.0</v>
      </c>
      <c r="D2" s="4">
        <v>17.2</v>
      </c>
      <c r="E2" s="4">
        <v>10.1</v>
      </c>
      <c r="F2" s="4">
        <v>70.5</v>
      </c>
      <c r="G2" s="4">
        <v>35.1</v>
      </c>
      <c r="H2" s="4">
        <v>54.1</v>
      </c>
    </row>
    <row r="3">
      <c r="A3" s="4">
        <v>2017.0</v>
      </c>
      <c r="B3" s="4" t="s">
        <v>9</v>
      </c>
      <c r="C3" s="7" t="s">
        <v>12</v>
      </c>
      <c r="D3" s="7">
        <v>14.2</v>
      </c>
      <c r="E3" s="7">
        <v>10.8</v>
      </c>
      <c r="F3" s="7">
        <v>69.0</v>
      </c>
      <c r="G3" s="7">
        <v>41.0</v>
      </c>
      <c r="H3" s="7">
        <v>54.7</v>
      </c>
    </row>
    <row r="4">
      <c r="A4" s="4">
        <v>2018.0</v>
      </c>
      <c r="B4" s="9" t="s">
        <v>9</v>
      </c>
      <c r="C4" s="9" t="s">
        <v>15</v>
      </c>
      <c r="D4" s="9">
        <v>14.6</v>
      </c>
      <c r="E4" s="9">
        <v>10.7</v>
      </c>
      <c r="F4" s="9">
        <v>64.8</v>
      </c>
      <c r="G4" s="9">
        <v>40.0</v>
      </c>
      <c r="H4" s="9">
        <v>51.7</v>
      </c>
    </row>
    <row r="5">
      <c r="A5" s="4">
        <v>2019.0</v>
      </c>
      <c r="B5" s="9" t="s">
        <v>9</v>
      </c>
      <c r="C5" s="9" t="s">
        <v>16</v>
      </c>
      <c r="D5" s="9">
        <v>12.1</v>
      </c>
      <c r="E5" s="9">
        <v>10.2</v>
      </c>
      <c r="F5" s="9">
        <v>50.4</v>
      </c>
      <c r="G5" s="9">
        <v>44.3</v>
      </c>
      <c r="H5" s="9">
        <v>54.4</v>
      </c>
    </row>
    <row r="6">
      <c r="A6" s="4">
        <v>2020.0</v>
      </c>
      <c r="B6" s="9" t="s">
        <v>9</v>
      </c>
      <c r="C6" s="9" t="s">
        <v>18</v>
      </c>
      <c r="D6" s="9">
        <v>13.6</v>
      </c>
      <c r="E6" s="9">
        <v>9.8</v>
      </c>
      <c r="F6" s="9">
        <v>40.2</v>
      </c>
      <c r="G6" s="9">
        <v>44.9</v>
      </c>
      <c r="H6" s="9">
        <v>54.5</v>
      </c>
    </row>
    <row r="7">
      <c r="A7" s="4">
        <v>2021.0</v>
      </c>
      <c r="B7" s="9" t="s">
        <v>9</v>
      </c>
      <c r="C7" s="9" t="s">
        <v>19</v>
      </c>
      <c r="D7" s="9">
        <v>13.8</v>
      </c>
      <c r="E7" s="9">
        <v>10.0</v>
      </c>
      <c r="F7" s="9">
        <v>35.8</v>
      </c>
      <c r="G7" s="9">
        <v>43.6</v>
      </c>
      <c r="H7" s="9">
        <v>58.9</v>
      </c>
    </row>
    <row r="8">
      <c r="A8" s="4">
        <v>2022.0</v>
      </c>
      <c r="B8" s="9" t="s">
        <v>9</v>
      </c>
      <c r="C8" s="9" t="s">
        <v>21</v>
      </c>
      <c r="D8" s="9">
        <v>14.3</v>
      </c>
      <c r="E8" s="9">
        <v>12.0</v>
      </c>
      <c r="F8" s="9">
        <v>28.7</v>
      </c>
      <c r="G8" s="9">
        <v>41.3</v>
      </c>
      <c r="H8" s="9">
        <v>56.1</v>
      </c>
    </row>
    <row r="9">
      <c r="A9" s="4">
        <v>2023.0</v>
      </c>
      <c r="B9" s="9" t="s">
        <v>9</v>
      </c>
      <c r="C9" s="9" t="s">
        <v>22</v>
      </c>
      <c r="D9" s="9">
        <v>14.0</v>
      </c>
      <c r="E9" s="9">
        <v>12.0</v>
      </c>
      <c r="F9" s="9">
        <v>27.3</v>
      </c>
      <c r="G9" s="9">
        <v>39.4</v>
      </c>
      <c r="H9" s="9">
        <v>54.8</v>
      </c>
    </row>
    <row r="10">
      <c r="A10" s="4">
        <v>2024.0</v>
      </c>
      <c r="B10" s="9" t="s">
        <v>9</v>
      </c>
      <c r="C10" s="9" t="s">
        <v>24</v>
      </c>
      <c r="D10" s="9">
        <v>12.3</v>
      </c>
      <c r="E10" s="9">
        <v>10.8</v>
      </c>
      <c r="F10" s="9">
        <v>36.2</v>
      </c>
      <c r="G10" s="9">
        <v>32.3</v>
      </c>
      <c r="H10" s="9">
        <v>56.9</v>
      </c>
    </row>
    <row r="11">
      <c r="A11" s="4">
        <v>2025.0</v>
      </c>
      <c r="B11" s="9" t="s">
        <v>9</v>
      </c>
      <c r="C11" s="9" t="s">
        <v>25</v>
      </c>
      <c r="D11" s="9">
        <v>12.7</v>
      </c>
      <c r="E11" s="9">
        <v>11.8</v>
      </c>
      <c r="F11" s="9">
        <v>33.8</v>
      </c>
      <c r="G11" s="9">
        <v>38.1</v>
      </c>
      <c r="H11" s="9">
        <v>55.6</v>
      </c>
    </row>
    <row r="12">
      <c r="A12" s="4">
        <v>2026.0</v>
      </c>
      <c r="B12" s="9" t="s">
        <v>9</v>
      </c>
      <c r="C12" s="9" t="s">
        <v>27</v>
      </c>
      <c r="D12" s="9">
        <v>14.5</v>
      </c>
      <c r="E12" s="9">
        <v>12.9</v>
      </c>
      <c r="F12" s="9">
        <v>33.0</v>
      </c>
      <c r="G12" s="9">
        <v>40.7</v>
      </c>
      <c r="H12" s="9">
        <v>53.8</v>
      </c>
    </row>
    <row r="13">
      <c r="A13" s="14"/>
      <c r="C13" s="15" t="s">
        <v>30</v>
      </c>
      <c r="D13" s="17">
        <f t="shared" ref="D13:H13" si="1">sum(D12-D2)</f>
        <v>-2.7</v>
      </c>
      <c r="E13" s="18">
        <f t="shared" si="1"/>
        <v>2.8</v>
      </c>
      <c r="F13" s="17">
        <f t="shared" si="1"/>
        <v>-37.5</v>
      </c>
      <c r="G13" s="18">
        <f t="shared" si="1"/>
        <v>5.6</v>
      </c>
      <c r="H13" s="17">
        <f t="shared" si="1"/>
        <v>-0.3</v>
      </c>
    </row>
    <row r="14">
      <c r="A14" s="14"/>
      <c r="B14" s="14"/>
      <c r="C14" s="14"/>
      <c r="D14" s="14"/>
      <c r="E14" s="14"/>
      <c r="F14" s="14"/>
      <c r="G14" s="14"/>
      <c r="H14" s="14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38"/>
    <col customWidth="1" min="3" max="3" width="10.75"/>
    <col customWidth="1" min="4" max="4" width="15.75"/>
    <col customWidth="1" min="5" max="5" width="28.88"/>
    <col customWidth="1" min="6" max="6" width="21.75"/>
    <col customWidth="1" min="7" max="7" width="12.13"/>
    <col customWidth="1" min="8" max="8" width="31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4">
        <v>2016.0</v>
      </c>
      <c r="B2" s="4" t="s">
        <v>10</v>
      </c>
      <c r="C2" s="4">
        <v>0.0</v>
      </c>
      <c r="D2" s="4">
        <v>18.4</v>
      </c>
      <c r="E2" s="4">
        <v>8.0</v>
      </c>
      <c r="F2" s="4">
        <v>10.4</v>
      </c>
      <c r="G2" s="4">
        <v>44.3</v>
      </c>
      <c r="H2" s="4">
        <v>35.7</v>
      </c>
    </row>
    <row r="3">
      <c r="A3" s="4">
        <v>2017.0</v>
      </c>
      <c r="B3" s="4" t="s">
        <v>10</v>
      </c>
      <c r="C3" s="7" t="s">
        <v>14</v>
      </c>
      <c r="D3" s="7">
        <v>14.0</v>
      </c>
      <c r="E3" s="7">
        <v>10.7</v>
      </c>
      <c r="F3" s="7">
        <v>13.5</v>
      </c>
      <c r="G3" s="7">
        <v>51.7</v>
      </c>
      <c r="H3" s="7">
        <v>45.2</v>
      </c>
    </row>
    <row r="4">
      <c r="A4" s="4">
        <v>2018.0</v>
      </c>
      <c r="B4" s="9" t="s">
        <v>10</v>
      </c>
      <c r="C4" s="9" t="s">
        <v>17</v>
      </c>
      <c r="D4" s="9">
        <v>17.4</v>
      </c>
      <c r="E4" s="9">
        <v>12.9</v>
      </c>
      <c r="F4" s="9">
        <v>13.2</v>
      </c>
      <c r="G4" s="9">
        <v>49.0</v>
      </c>
      <c r="H4" s="9">
        <v>47.7</v>
      </c>
    </row>
    <row r="5">
      <c r="A5" s="4">
        <v>2019.0</v>
      </c>
      <c r="B5" s="9" t="s">
        <v>10</v>
      </c>
      <c r="C5" s="9" t="s">
        <v>20</v>
      </c>
      <c r="D5" s="9">
        <v>15.3</v>
      </c>
      <c r="E5" s="9">
        <v>14.3</v>
      </c>
      <c r="F5" s="9">
        <v>13.8</v>
      </c>
      <c r="G5" s="9">
        <v>46.9</v>
      </c>
      <c r="H5" s="9">
        <v>48.7</v>
      </c>
    </row>
    <row r="6">
      <c r="A6" s="4">
        <v>2020.0</v>
      </c>
      <c r="B6" s="9" t="s">
        <v>10</v>
      </c>
      <c r="C6" s="9" t="s">
        <v>23</v>
      </c>
      <c r="D6" s="9">
        <v>17.3</v>
      </c>
      <c r="E6" s="9">
        <v>15.9</v>
      </c>
      <c r="F6" s="9">
        <v>16.0</v>
      </c>
      <c r="G6" s="9">
        <v>50.0</v>
      </c>
      <c r="H6" s="9">
        <v>48.6</v>
      </c>
    </row>
    <row r="7">
      <c r="A7" s="4">
        <v>2021.0</v>
      </c>
      <c r="B7" s="9" t="s">
        <v>10</v>
      </c>
      <c r="C7" s="9" t="s">
        <v>19</v>
      </c>
      <c r="D7" s="9">
        <v>16.8</v>
      </c>
      <c r="E7" s="9">
        <v>16.0</v>
      </c>
      <c r="F7" s="9">
        <v>17.2</v>
      </c>
      <c r="G7" s="9">
        <v>47.4</v>
      </c>
      <c r="H7" s="9">
        <v>48.9</v>
      </c>
    </row>
    <row r="8">
      <c r="A8" s="4">
        <v>2022.0</v>
      </c>
      <c r="B8" s="9" t="s">
        <v>10</v>
      </c>
      <c r="C8" s="9" t="s">
        <v>29</v>
      </c>
      <c r="D8" s="9">
        <v>17.4</v>
      </c>
      <c r="E8" s="9">
        <v>25.2</v>
      </c>
      <c r="F8" s="9">
        <v>20.4</v>
      </c>
      <c r="G8" s="9">
        <v>43.9</v>
      </c>
      <c r="H8" s="9">
        <v>49.3</v>
      </c>
    </row>
    <row r="9">
      <c r="A9" s="4">
        <v>2023.0</v>
      </c>
      <c r="B9" s="9" t="s">
        <v>10</v>
      </c>
      <c r="C9" s="9" t="s">
        <v>22</v>
      </c>
      <c r="D9" s="9">
        <v>16.6</v>
      </c>
      <c r="E9" s="9">
        <v>18.1</v>
      </c>
      <c r="F9" s="9">
        <v>21.4</v>
      </c>
      <c r="G9" s="9">
        <v>47.4</v>
      </c>
      <c r="H9" s="9">
        <v>50.0</v>
      </c>
    </row>
    <row r="10">
      <c r="A10" s="4">
        <v>2024.0</v>
      </c>
      <c r="B10" s="9" t="s">
        <v>10</v>
      </c>
      <c r="C10" s="9" t="s">
        <v>24</v>
      </c>
      <c r="D10" s="9">
        <v>15.8</v>
      </c>
      <c r="E10" s="9">
        <v>17.1</v>
      </c>
      <c r="F10" s="9">
        <v>32.8</v>
      </c>
      <c r="G10" s="9">
        <v>38.1</v>
      </c>
      <c r="H10" s="9">
        <v>51.1</v>
      </c>
    </row>
    <row r="11">
      <c r="A11" s="4">
        <v>2025.0</v>
      </c>
      <c r="B11" s="9" t="s">
        <v>10</v>
      </c>
      <c r="C11" s="9" t="s">
        <v>25</v>
      </c>
      <c r="D11" s="9">
        <v>15.4</v>
      </c>
      <c r="E11" s="9">
        <v>17.2</v>
      </c>
      <c r="F11" s="9">
        <v>31.0</v>
      </c>
      <c r="G11" s="9">
        <v>43.0</v>
      </c>
      <c r="H11" s="9">
        <v>51.4</v>
      </c>
    </row>
    <row r="12">
      <c r="A12" s="4">
        <v>2026.0</v>
      </c>
      <c r="B12" s="9" t="s">
        <v>10</v>
      </c>
      <c r="C12" s="9" t="s">
        <v>27</v>
      </c>
      <c r="D12" s="9">
        <v>17.4</v>
      </c>
      <c r="E12" s="9">
        <v>17.6</v>
      </c>
      <c r="F12" s="9">
        <v>33.0</v>
      </c>
      <c r="G12" s="9">
        <v>33.8</v>
      </c>
      <c r="H12" s="9">
        <v>51.3</v>
      </c>
    </row>
    <row r="13">
      <c r="A13" s="14"/>
      <c r="C13" s="15" t="s">
        <v>30</v>
      </c>
      <c r="D13" s="17">
        <f t="shared" ref="D13:H13" si="1">sum(D12-D2)</f>
        <v>-1</v>
      </c>
      <c r="E13" s="18">
        <f t="shared" si="1"/>
        <v>9.6</v>
      </c>
      <c r="F13" s="18">
        <f t="shared" si="1"/>
        <v>22.6</v>
      </c>
      <c r="G13" s="17">
        <f t="shared" si="1"/>
        <v>-10.5</v>
      </c>
      <c r="H13" s="18">
        <f t="shared" si="1"/>
        <v>15.6</v>
      </c>
    </row>
    <row r="14">
      <c r="A14" s="14"/>
      <c r="B14" s="14"/>
      <c r="C14" s="14"/>
      <c r="D14" s="14"/>
      <c r="E14" s="14"/>
      <c r="F14" s="14"/>
      <c r="G14" s="14"/>
      <c r="H14" s="14"/>
    </row>
  </sheetData>
  <drawing r:id="rId1"/>
  <tableParts count="1">
    <tablePart r:id="rId3"/>
  </tableParts>
</worksheet>
</file>